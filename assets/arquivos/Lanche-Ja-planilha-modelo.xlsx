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" sheetId="1" state="visible" r:id="rId1"/>
    <sheet xmlns:r="http://schemas.openxmlformats.org/officeDocument/2006/relationships" name="Flux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Cená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1F6B47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EF2F0"/>
      </patternFill>
    </fill>
    <fill>
      <patternFill patternType="solid">
        <fgColor rgb="00E3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" fontId="0" fillId="3" borderId="0" applyAlignment="1" pivotButton="0" quotePrefix="0" xfId="0">
      <alignment vertical="center"/>
    </xf>
    <xf numFmtId="9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Lanche Já · investimento e custos</t>
        </is>
      </c>
      <c r="B1" s="2" t="n"/>
    </row>
    <row r="2">
      <c r="A2" s="2" t="n"/>
      <c r="B2" s="2" t="n"/>
    </row>
    <row r="3">
      <c r="A3" s="3" t="inlineStr">
        <is>
          <t>Investimento inicial</t>
        </is>
      </c>
      <c r="B3" s="3" t="inlineStr">
        <is>
          <t>Valor</t>
        </is>
      </c>
    </row>
    <row r="4">
      <c r="A4" s="2" t="inlineStr">
        <is>
          <t>Chapa e estufa</t>
        </is>
      </c>
      <c r="B4" s="4" t="n">
        <v>4800</v>
      </c>
    </row>
    <row r="5">
      <c r="A5" s="2" t="inlineStr">
        <is>
          <t>Freezer usado</t>
        </is>
      </c>
      <c r="B5" s="4" t="n">
        <v>1500</v>
      </c>
    </row>
    <row r="6">
      <c r="A6" s="2" t="inlineStr">
        <is>
          <t>Tablet do balcão</t>
        </is>
      </c>
      <c r="B6" s="4" t="n">
        <v>1200</v>
      </c>
    </row>
    <row r="7">
      <c r="A7" s="2" t="inlineStr">
        <is>
          <t>Reforma do balcão</t>
        </is>
      </c>
      <c r="B7" s="4" t="n">
        <v>500</v>
      </c>
    </row>
    <row r="8">
      <c r="A8" s="2" t="inlineStr">
        <is>
          <t>Capital de giro (folga para os primeiros meses)</t>
        </is>
      </c>
      <c r="B8" s="4" t="n">
        <v>2000</v>
      </c>
    </row>
    <row r="9">
      <c r="A9" s="5" t="inlineStr">
        <is>
          <t>Total do investimento</t>
        </is>
      </c>
      <c r="B9" s="6">
        <f>SUM(B4:B8)</f>
        <v/>
      </c>
    </row>
    <row r="10">
      <c r="A10" s="2" t="n"/>
      <c r="B10" s="2" t="n"/>
    </row>
    <row r="11">
      <c r="A11" s="3" t="inlineStr">
        <is>
          <t>Custos fixos por mês</t>
        </is>
      </c>
      <c r="B11" s="3" t="inlineStr">
        <is>
          <t>Valor</t>
        </is>
      </c>
    </row>
    <row r="12">
      <c r="A12" s="2" t="inlineStr">
        <is>
          <t>Aluguel do espaço</t>
        </is>
      </c>
      <c r="B12" s="4" t="n">
        <v>1000</v>
      </c>
    </row>
    <row r="13">
      <c r="A13" s="2" t="inlineStr">
        <is>
          <t>Pró-labore do sócio</t>
        </is>
      </c>
      <c r="B13" s="4" t="n">
        <v>1200</v>
      </c>
    </row>
    <row r="14">
      <c r="A14" s="2" t="inlineStr">
        <is>
          <t>Energia e gás</t>
        </is>
      </c>
      <c r="B14" s="4" t="n">
        <v>300</v>
      </c>
    </row>
    <row r="15">
      <c r="A15" s="2" t="inlineStr">
        <is>
          <t>Internet</t>
        </is>
      </c>
      <c r="B15" s="4" t="n">
        <v>100</v>
      </c>
    </row>
    <row r="16">
      <c r="A16" s="2" t="inlineStr">
        <is>
          <t>Hospedagem do site e banco de dados</t>
        </is>
      </c>
      <c r="B16" s="4" t="n">
        <v>60</v>
      </c>
    </row>
    <row r="17">
      <c r="A17" s="2" t="inlineStr">
        <is>
          <t>Imposto do MEI (DAS)</t>
        </is>
      </c>
      <c r="B17" s="4" t="n">
        <v>80</v>
      </c>
    </row>
    <row r="18">
      <c r="A18" s="2" t="inlineStr">
        <is>
          <t>Divulgação</t>
        </is>
      </c>
      <c r="B18" s="4" t="n">
        <v>260</v>
      </c>
    </row>
    <row r="19">
      <c r="A19" s="5" t="inlineStr">
        <is>
          <t>Total dos custos fixos</t>
        </is>
      </c>
      <c r="B19" s="6">
        <f>SUM(B12:B18)</f>
        <v/>
      </c>
    </row>
    <row r="20">
      <c r="A20" s="2" t="n"/>
      <c r="B20" s="2" t="n"/>
    </row>
    <row r="21">
      <c r="A21" s="2" t="n"/>
      <c r="B21" s="2" t="n"/>
    </row>
    <row r="22">
      <c r="A22" s="3" t="inlineStr">
        <is>
          <t>Custo variável por combo</t>
        </is>
      </c>
      <c r="B22" s="3" t="inlineStr">
        <is>
          <t>Valor</t>
        </is>
      </c>
    </row>
    <row r="23">
      <c r="A23" s="2" t="inlineStr">
        <is>
          <t>Ingredientes</t>
        </is>
      </c>
      <c r="B23" s="4" t="n">
        <v>4.9</v>
      </c>
    </row>
    <row r="24">
      <c r="A24" s="2" t="inlineStr">
        <is>
          <t>Embalagem</t>
        </is>
      </c>
      <c r="B24" s="4" t="n">
        <v>0.6</v>
      </c>
    </row>
    <row r="25">
      <c r="A25" s="2" t="inlineStr">
        <is>
          <t>Taxa do cartão e do Pix</t>
        </is>
      </c>
      <c r="B25" s="4" t="n">
        <v>0.5</v>
      </c>
    </row>
    <row r="26">
      <c r="A26" s="5" t="inlineStr">
        <is>
          <t>Total do custo variável</t>
        </is>
      </c>
      <c r="B26" s="6">
        <f>SUM(B23:B25)</f>
        <v/>
      </c>
    </row>
    <row r="27">
      <c r="A27" s="2" t="n"/>
      <c r="B27" s="2" t="n"/>
    </row>
    <row r="28">
      <c r="A28" s="5" t="inlineStr">
        <is>
          <t>Preço do combo</t>
        </is>
      </c>
      <c r="B28" s="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Lanche Já · fluxo de caixa projetado (12 meses)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Linha</t>
        </is>
      </c>
      <c r="B3" s="3" t="inlineStr">
        <is>
          <t>Mês 1</t>
        </is>
      </c>
      <c r="C3" s="3" t="inlineStr">
        <is>
          <t>Mês 2</t>
        </is>
      </c>
      <c r="D3" s="3" t="inlineStr">
        <is>
          <t>Mês 3</t>
        </is>
      </c>
      <c r="E3" s="3" t="inlineStr">
        <is>
          <t>Mês 4</t>
        </is>
      </c>
      <c r="F3" s="3" t="inlineStr">
        <is>
          <t>Mês 5</t>
        </is>
      </c>
      <c r="G3" s="3" t="inlineStr">
        <is>
          <t>Mês 6</t>
        </is>
      </c>
      <c r="H3" s="3" t="inlineStr">
        <is>
          <t>Mês 7</t>
        </is>
      </c>
      <c r="I3" s="3" t="inlineStr">
        <is>
          <t>Mês 8</t>
        </is>
      </c>
      <c r="J3" s="3" t="inlineStr">
        <is>
          <t>Mês 9</t>
        </is>
      </c>
      <c r="K3" s="3" t="inlineStr">
        <is>
          <t>Mês 10</t>
        </is>
      </c>
      <c r="L3" s="3" t="inlineStr">
        <is>
          <t>Mês 11</t>
        </is>
      </c>
      <c r="M3" s="3" t="inlineStr">
        <is>
          <t>Mês 12</t>
        </is>
      </c>
    </row>
    <row r="4">
      <c r="A4" s="2" t="inlineStr">
        <is>
          <t>Combos vendidos</t>
        </is>
      </c>
      <c r="B4" s="2" t="n">
        <v>200</v>
      </c>
      <c r="C4" s="2" t="n">
        <v>250</v>
      </c>
      <c r="D4" s="2" t="n">
        <v>300</v>
      </c>
      <c r="E4" s="2" t="n">
        <v>350</v>
      </c>
      <c r="F4" s="2" t="n">
        <v>400</v>
      </c>
      <c r="G4" s="2" t="n">
        <v>450</v>
      </c>
      <c r="H4" s="2" t="n">
        <v>500</v>
      </c>
      <c r="I4" s="2" t="n">
        <v>500</v>
      </c>
      <c r="J4" s="2" t="n">
        <v>500</v>
      </c>
      <c r="K4" s="2" t="n">
        <v>500</v>
      </c>
      <c r="L4" s="2" t="n">
        <v>500</v>
      </c>
      <c r="M4" s="2" t="n">
        <v>500</v>
      </c>
    </row>
    <row r="5">
      <c r="A5" s="2" t="inlineStr">
        <is>
          <t>Receita</t>
        </is>
      </c>
      <c r="B5" s="4">
        <f>B4*Custos!$B$28</f>
        <v/>
      </c>
      <c r="C5" s="4">
        <f>C4*Custos!$B$28</f>
        <v/>
      </c>
      <c r="D5" s="4">
        <f>D4*Custos!$B$28</f>
        <v/>
      </c>
      <c r="E5" s="4">
        <f>E4*Custos!$B$28</f>
        <v/>
      </c>
      <c r="F5" s="4">
        <f>F4*Custos!$B$28</f>
        <v/>
      </c>
      <c r="G5" s="4">
        <f>G4*Custos!$B$28</f>
        <v/>
      </c>
      <c r="H5" s="4">
        <f>H4*Custos!$B$28</f>
        <v/>
      </c>
      <c r="I5" s="4">
        <f>I4*Custos!$B$28</f>
        <v/>
      </c>
      <c r="J5" s="4">
        <f>J4*Custos!$B$28</f>
        <v/>
      </c>
      <c r="K5" s="4">
        <f>K4*Custos!$B$28</f>
        <v/>
      </c>
      <c r="L5" s="4">
        <f>L4*Custos!$B$28</f>
        <v/>
      </c>
      <c r="M5" s="4">
        <f>M4*Custos!$B$28</f>
        <v/>
      </c>
    </row>
    <row r="6">
      <c r="A6" s="2" t="inlineStr">
        <is>
          <t>(−) Custos variáveis</t>
        </is>
      </c>
      <c r="B6" s="4">
        <f>B4*Custos!$B$26</f>
        <v/>
      </c>
      <c r="C6" s="4">
        <f>C4*Custos!$B$26</f>
        <v/>
      </c>
      <c r="D6" s="4">
        <f>D4*Custos!$B$26</f>
        <v/>
      </c>
      <c r="E6" s="4">
        <f>E4*Custos!$B$26</f>
        <v/>
      </c>
      <c r="F6" s="4">
        <f>F4*Custos!$B$26</f>
        <v/>
      </c>
      <c r="G6" s="4">
        <f>G4*Custos!$B$26</f>
        <v/>
      </c>
      <c r="H6" s="4">
        <f>H4*Custos!$B$26</f>
        <v/>
      </c>
      <c r="I6" s="4">
        <f>I4*Custos!$B$26</f>
        <v/>
      </c>
      <c r="J6" s="4">
        <f>J4*Custos!$B$26</f>
        <v/>
      </c>
      <c r="K6" s="4">
        <f>K4*Custos!$B$26</f>
        <v/>
      </c>
      <c r="L6" s="4">
        <f>L4*Custos!$B$26</f>
        <v/>
      </c>
      <c r="M6" s="4">
        <f>M4*Custos!$B$26</f>
        <v/>
      </c>
    </row>
    <row r="7">
      <c r="A7" s="2" t="inlineStr">
        <is>
          <t>(−) Custos fixos</t>
        </is>
      </c>
      <c r="B7" s="4">
        <f>Custos!$B$19</f>
        <v/>
      </c>
      <c r="C7" s="4">
        <f>Custos!$B$19</f>
        <v/>
      </c>
      <c r="D7" s="4">
        <f>Custos!$B$19</f>
        <v/>
      </c>
      <c r="E7" s="4">
        <f>Custos!$B$19</f>
        <v/>
      </c>
      <c r="F7" s="4">
        <f>Custos!$B$19</f>
        <v/>
      </c>
      <c r="G7" s="4">
        <f>Custos!$B$19</f>
        <v/>
      </c>
      <c r="H7" s="4">
        <f>Custos!$B$19</f>
        <v/>
      </c>
      <c r="I7" s="4">
        <f>Custos!$B$19</f>
        <v/>
      </c>
      <c r="J7" s="4">
        <f>Custos!$B$19</f>
        <v/>
      </c>
      <c r="K7" s="4">
        <f>Custos!$B$19</f>
        <v/>
      </c>
      <c r="L7" s="4">
        <f>Custos!$B$19</f>
        <v/>
      </c>
      <c r="M7" s="4">
        <f>Custos!$B$19</f>
        <v/>
      </c>
    </row>
    <row r="8">
      <c r="A8" s="5" t="inlineStr">
        <is>
          <t>Saldo do mês</t>
        </is>
      </c>
      <c r="B8" s="4">
        <f>B5-B6-B7</f>
        <v/>
      </c>
      <c r="C8" s="4">
        <f>C5-C6-C7</f>
        <v/>
      </c>
      <c r="D8" s="4">
        <f>D5-D6-D7</f>
        <v/>
      </c>
      <c r="E8" s="4">
        <f>E5-E6-E7</f>
        <v/>
      </c>
      <c r="F8" s="4">
        <f>F5-F6-F7</f>
        <v/>
      </c>
      <c r="G8" s="4">
        <f>G5-G6-G7</f>
        <v/>
      </c>
      <c r="H8" s="4">
        <f>H5-H6-H7</f>
        <v/>
      </c>
      <c r="I8" s="4">
        <f>I5-I6-I7</f>
        <v/>
      </c>
      <c r="J8" s="4">
        <f>J5-J6-J7</f>
        <v/>
      </c>
      <c r="K8" s="4">
        <f>K5-K6-K7</f>
        <v/>
      </c>
      <c r="L8" s="4">
        <f>L5-L6-L7</f>
        <v/>
      </c>
      <c r="M8" s="4">
        <f>M5-M6-M7</f>
        <v/>
      </c>
    </row>
    <row r="9">
      <c r="A9" s="5" t="inlineStr">
        <is>
          <t>Saldo acumulado</t>
        </is>
      </c>
      <c r="B9" s="7">
        <f>-Custos!$B$9+B8</f>
        <v/>
      </c>
      <c r="C9" s="7">
        <f>B9+C8</f>
        <v/>
      </c>
      <c r="D9" s="7">
        <f>C9+D8</f>
        <v/>
      </c>
      <c r="E9" s="7">
        <f>D9+E8</f>
        <v/>
      </c>
      <c r="F9" s="7">
        <f>E9+F8</f>
        <v/>
      </c>
      <c r="G9" s="7">
        <f>F9+G8</f>
        <v/>
      </c>
      <c r="H9" s="7">
        <f>G9+H8</f>
        <v/>
      </c>
      <c r="I9" s="7">
        <f>H9+I8</f>
        <v/>
      </c>
      <c r="J9" s="7">
        <f>I9+J8</f>
        <v/>
      </c>
      <c r="K9" s="7">
        <f>J9+K8</f>
        <v/>
      </c>
      <c r="L9" s="7">
        <f>K9+L8</f>
        <v/>
      </c>
      <c r="M9" s="7">
        <f>L9+M8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</cols>
  <sheetData>
    <row r="1">
      <c r="A1" s="1" t="inlineStr">
        <is>
          <t>Lanche Já · indicadores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Indicador</t>
        </is>
      </c>
      <c r="B3" s="3" t="inlineStr">
        <is>
          <t>Resultado</t>
        </is>
      </c>
      <c r="C3" s="3" t="inlineStr">
        <is>
          <t>Como ler</t>
        </is>
      </c>
    </row>
    <row r="4">
      <c r="A4" s="2" t="inlineStr">
        <is>
          <t>Margem de contribuição por combo</t>
        </is>
      </c>
      <c r="B4" s="7">
        <f>Custos!B28-Custos!B26</f>
        <v/>
      </c>
      <c r="C4" s="2" t="inlineStr">
        <is>
          <t>o que sobra de cada combo para pagar o fixo</t>
        </is>
      </c>
    </row>
    <row r="5">
      <c r="A5" s="2" t="inlineStr">
        <is>
          <t>Ponto de equilíbrio (combos por mês)</t>
        </is>
      </c>
      <c r="B5" s="8">
        <f>ROUNDUP(Custos!B19/B4,0)</f>
        <v/>
      </c>
      <c r="C5" s="2" t="inlineStr">
        <is>
          <t>abaixo disso, o mês dá prejuízo</t>
        </is>
      </c>
    </row>
    <row r="6">
      <c r="A6" s="2" t="inlineStr">
        <is>
          <t>Ponto de equilíbrio (combos por dia, 20 dias)</t>
        </is>
      </c>
      <c r="B6" s="8">
        <f>ROUNDUP(B5/20,0)</f>
        <v/>
      </c>
      <c r="C6" s="2" t="inlineStr">
        <is>
          <t>a meta diária do balcão</t>
        </is>
      </c>
    </row>
    <row r="7">
      <c r="A7" s="2" t="inlineStr">
        <is>
          <t>Lucratividade (mês 12)</t>
        </is>
      </c>
      <c r="B7" s="9">
        <f>Fluxo!M8/Fluxo!M5</f>
        <v/>
      </c>
      <c r="C7" s="2" t="inlineStr">
        <is>
          <t>de cada R$ 1 vendido, quanto sobra</t>
        </is>
      </c>
    </row>
    <row r="8">
      <c r="A8" s="2" t="inlineStr">
        <is>
          <t>Rentabilidade (1º ano)</t>
        </is>
      </c>
      <c r="B8" s="9">
        <f>SUM(Fluxo!B8:M8)/Custos!B9</f>
        <v/>
      </c>
      <c r="C8" s="2" t="inlineStr">
        <is>
          <t>quanto o investimento rendeu no ano</t>
        </is>
      </c>
    </row>
    <row r="9">
      <c r="A9" s="2" t="inlineStr">
        <is>
          <t>Payback simples (meses)</t>
        </is>
      </c>
      <c r="B9" s="10">
        <f>Custos!B9/Fluxo!M8</f>
        <v/>
      </c>
      <c r="C9" s="2" t="inlineStr">
        <is>
          <t>investimento ÷ lucro de um mês cheio</t>
        </is>
      </c>
    </row>
    <row r="10">
      <c r="A10" s="2" t="inlineStr">
        <is>
          <t>Payback pelo fluxo de caixa (mês)</t>
        </is>
      </c>
      <c r="B10" s="8">
        <f>COUNTIF(Fluxo!B9:M9,"&lt;0")+1</f>
        <v/>
      </c>
      <c r="C10" s="2" t="inlineStr">
        <is>
          <t>o mês em que o saldo acumulado fica positivo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Lanche Já · análise de sensibilidade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Premissa (mês cheio)</t>
        </is>
      </c>
      <c r="B3" s="3" t="inlineStr">
        <is>
          <t>Pessimista</t>
        </is>
      </c>
      <c r="C3" s="3" t="inlineStr">
        <is>
          <t>Realista</t>
        </is>
      </c>
      <c r="D3" s="3" t="inlineStr">
        <is>
          <t>Otimista</t>
        </is>
      </c>
    </row>
    <row r="4">
      <c r="A4" s="2" t="inlineStr">
        <is>
          <t>Combos vendidos por mês</t>
        </is>
      </c>
      <c r="B4" s="11" t="n">
        <v>350</v>
      </c>
      <c r="C4" s="11" t="n">
        <v>500</v>
      </c>
      <c r="D4" s="11" t="n">
        <v>600</v>
      </c>
    </row>
    <row r="5">
      <c r="A5" s="2" t="inlineStr">
        <is>
          <t>Preço do combo</t>
        </is>
      </c>
      <c r="B5" s="4" t="n">
        <v>16</v>
      </c>
      <c r="C5" s="4">
        <f>Custos!B28</f>
        <v/>
      </c>
      <c r="D5" s="4" t="n">
        <v>16</v>
      </c>
    </row>
    <row r="6">
      <c r="A6" s="2" t="inlineStr">
        <is>
          <t>Custo variável por combo</t>
        </is>
      </c>
      <c r="B6" s="4" t="n">
        <v>6.6</v>
      </c>
      <c r="C6" s="4">
        <f>Custos!B26</f>
        <v/>
      </c>
      <c r="D6" s="4">
        <f>Custos!B26</f>
        <v/>
      </c>
    </row>
    <row r="7">
      <c r="A7" s="2" t="inlineStr">
        <is>
          <t>Custos fixos por mês</t>
        </is>
      </c>
      <c r="B7" s="4">
        <f>Custos!B19</f>
        <v/>
      </c>
      <c r="C7" s="4">
        <f>Custos!B19</f>
        <v/>
      </c>
      <c r="D7" s="4">
        <f>Custos!B19</f>
        <v/>
      </c>
    </row>
    <row r="8">
      <c r="A8" s="5" t="inlineStr">
        <is>
          <t>Margem por combo</t>
        </is>
      </c>
      <c r="B8" s="7">
        <f>B5-B6</f>
        <v/>
      </c>
      <c r="C8" s="7">
        <f>C5-C6</f>
        <v/>
      </c>
      <c r="D8" s="7">
        <f>D5-D6</f>
        <v/>
      </c>
    </row>
    <row r="9">
      <c r="A9" s="5" t="inlineStr">
        <is>
          <t>Lucro do mês</t>
        </is>
      </c>
      <c r="B9" s="7">
        <f>B4*B8-B7</f>
        <v/>
      </c>
      <c r="C9" s="7">
        <f>C4*C8-C7</f>
        <v/>
      </c>
      <c r="D9" s="7">
        <f>D4*D8-D7</f>
        <v/>
      </c>
    </row>
    <row r="10">
      <c r="A10" s="5" t="inlineStr">
        <is>
          <t>Ponto de equilíbrio (combos)</t>
        </is>
      </c>
      <c r="B10" s="8">
        <f>ROUNDUP(B7/B8,0)</f>
        <v/>
      </c>
      <c r="C10" s="8">
        <f>ROUNDUP(C7/C8,0)</f>
        <v/>
      </c>
      <c r="D10" s="8">
        <f>ROUNDUP(D7/D8,0)</f>
        <v/>
      </c>
    </row>
    <row r="11">
      <c r="A11" s="5" t="inlineStr">
        <is>
          <t>Payback simples (meses)</t>
        </is>
      </c>
      <c r="B11" s="10">
        <f>IF(B9&lt;=0,"não se paga",Custos!$B$9/B9)</f>
        <v/>
      </c>
      <c r="C11" s="10">
        <f>IF(C9&lt;=0,"não se paga",Custos!$B$9/C9)</f>
        <v/>
      </c>
      <c r="D11" s="10">
        <f>IF(D9&lt;=0,"não se paga",Custos!$B$9/D9)</f>
        <v/>
      </c>
    </row>
    <row r="12">
      <c r="A12" s="2" t="n"/>
      <c r="B12" s="2" t="n"/>
      <c r="C12" s="2" t="n"/>
      <c r="D12" s="2" t="n"/>
    </row>
    <row r="13">
      <c r="A13" s="5" t="inlineStr">
        <is>
          <t>Uma variável por vez (a partir do realista)</t>
        </is>
      </c>
      <c r="B13" s="2" t="n"/>
      <c r="C13" s="2" t="n"/>
      <c r="D13" s="2" t="n"/>
    </row>
    <row r="14">
      <c r="A14" s="3" t="inlineStr">
        <is>
          <t>Mudança</t>
        </is>
      </c>
      <c r="B14" s="3" t="inlineStr">
        <is>
          <t>Lucro do mês</t>
        </is>
      </c>
      <c r="C14" s="3" t="inlineStr">
        <is>
          <t>Variação do lucro</t>
        </is>
      </c>
      <c r="D14" s="2" t="n"/>
    </row>
    <row r="15">
      <c r="A15" s="2" t="inlineStr">
        <is>
          <t>Vendas 10% menores</t>
        </is>
      </c>
      <c r="B15" s="4">
        <f>($C$4*0.9)*($C$5-$C$6)-$C$7</f>
        <v/>
      </c>
      <c r="C15" s="12">
        <f>B15/$C$9-1</f>
        <v/>
      </c>
      <c r="D15" s="2" t="n"/>
    </row>
    <row r="16">
      <c r="A16" s="2" t="inlineStr">
        <is>
          <t>Preço 10% menor</t>
        </is>
      </c>
      <c r="B16" s="4">
        <f>$C$4*($C$5*0.9-$C$6)-$C$7</f>
        <v/>
      </c>
      <c r="C16" s="12">
        <f>B16/$C$9-1</f>
        <v/>
      </c>
      <c r="D16" s="2" t="n"/>
    </row>
    <row r="17">
      <c r="A17" s="2" t="inlineStr">
        <is>
          <t>Custo variável 10% maior</t>
        </is>
      </c>
      <c r="B17" s="4">
        <f>$C$4*($C$5-$C$6*1.1)-$C$7</f>
        <v/>
      </c>
      <c r="C17" s="12">
        <f>B17/$C$9-1</f>
        <v/>
      </c>
      <c r="D17" s="2" t="n"/>
    </row>
    <row r="18">
      <c r="A18" s="2" t="inlineStr">
        <is>
          <t>Custos fixos 10% maiores</t>
        </is>
      </c>
      <c r="B18" s="4">
        <f>$C$4*($C$5-$C$6)-$C$7*1.1</f>
        <v/>
      </c>
      <c r="C18" s="12">
        <f>B18/$C$9-1</f>
        <v/>
      </c>
      <c r="D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2026-10-16T17:18:12Z</dcterms:created>
  <dcterms:modified xmlns:dcterms="http://purl.org/dc/terms/" xmlns:xsi="http://www.w3.org/2001/XMLSchema-instance" xsi:type="dcterms:W3CDTF">2026-10-16T17:18:12Z</dcterms:modified>
</cp:coreProperties>
</file>